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d&quot; &quot;mmm&quot;, &quot;ddd"/>
    <numFmt numFmtId="165" formatCode="m/d/yyyy"/>
  </numFmts>
  <fonts count="9">
    <font>
      <sz val="10.0"/>
      <color rgb="FF000000"/>
      <name val="Arial"/>
      <scheme val="minor"/>
    </font>
    <font>
      <sz val="9.0"/>
      <color theme="1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11.0"/>
      <color theme="1"/>
      <name val="Calibri"/>
    </font>
    <font>
      <sz val="11.0"/>
      <color theme="1"/>
      <name val="Arial"/>
    </font>
    <font>
      <sz val="9.0"/>
      <color theme="1"/>
      <name val="Arial"/>
    </font>
    <font>
      <u/>
      <sz val="9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10" xfId="0" applyAlignment="1" applyFont="1" applyNumberFormat="1">
      <alignment vertical="bottom"/>
    </xf>
    <xf borderId="2" fillId="0" fontId="5" numFmtId="10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2" fillId="0" fontId="1" numFmtId="10" xfId="0" applyAlignment="1" applyBorder="1" applyFont="1" applyNumberFormat="1">
      <alignment horizontal="center" vertical="bottom"/>
    </xf>
    <xf borderId="0" fillId="0" fontId="7" numFmtId="165" xfId="0" applyAlignment="1" applyFont="1" applyNumberFormat="1">
      <alignment horizontal="center" shrinkToFit="0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3.0"/>
    <col customWidth="1" min="4" max="4" width="18.88"/>
  </cols>
  <sheetData>
    <row r="4">
      <c r="A4" s="1">
        <v>45985.0</v>
      </c>
      <c r="B4" s="2" t="str">
        <f>HYPERLINK("https://app.clickup.com/t/86d0yzu91", "Rocket Store Sale: Alpha[Enabled 6PM IST]")</f>
        <v>Rocket Store Sale: Alpha[Enabled 6PM IST]</v>
      </c>
      <c r="C4" s="3" t="str">
        <f>HYPERLINK("https://app.clickup.com/t/86d0ze5tk", "3 PO_High_New Theme")</f>
        <v>3 PO_High_New Theme</v>
      </c>
      <c r="D4" s="4" t="str">
        <f>HYPERLINK("https://app.clickup.com/t/86d0ze7w9", "RBS_Falling For Flavors")</f>
        <v>RBS_Falling For Flavors</v>
      </c>
      <c r="E4" s="5"/>
      <c r="F4" s="5"/>
      <c r="G4" s="5"/>
      <c r="H4" s="5"/>
      <c r="I4" s="5"/>
      <c r="J4" s="5"/>
      <c r="K4" s="5"/>
      <c r="P4" s="5"/>
      <c r="Q4" s="5"/>
      <c r="R4" s="5"/>
      <c r="S4" s="5"/>
      <c r="T4" s="5"/>
      <c r="U4" s="5"/>
      <c r="V4" s="5"/>
      <c r="W4" s="6" t="str">
        <f t="shared" ref="W4:Z4" si="1">iferror(INDEX('Extract 2'!$A$1:$R1000,MATCH($BI4,'Extract 2'!$A$1:$A1000,0),MATCH(W$2,'Extract 2'!$A$1:$R$1,0)),"")</f>
        <v/>
      </c>
      <c r="X4" s="6" t="str">
        <f t="shared" si="1"/>
        <v/>
      </c>
      <c r="Y4" s="6" t="str">
        <f t="shared" si="1"/>
        <v/>
      </c>
      <c r="Z4" s="6" t="str">
        <f t="shared" si="1"/>
        <v/>
      </c>
      <c r="AA4" s="6" t="str">
        <f t="array" ref="AA4">iferror(INDEX('Extract 2'!$A$1:$R1000,MATCH($ABI4,'Extract 2'!$A$1:$A1000,0),MATCH(AA$2,'Extract 2'!$A$1:$R$1,0)),"")</f>
        <v/>
      </c>
      <c r="AB4" s="6" t="str">
        <f t="shared" ref="AB4:AJ4" si="2">iferror(INDEX('Extract 2'!$A$1:$R1000,MATCH($BI4,'Extract 2'!$A$1:$A1000,0),MATCH(AB$2,'Extract 2'!$A$1:$R$1,0)),"")</f>
        <v/>
      </c>
      <c r="AC4" s="6" t="str">
        <f t="shared" si="2"/>
        <v/>
      </c>
      <c r="AD4" s="6" t="str">
        <f t="shared" si="2"/>
        <v/>
      </c>
      <c r="AE4" s="6" t="str">
        <f t="shared" si="2"/>
        <v/>
      </c>
      <c r="AF4" s="6" t="str">
        <f t="shared" si="2"/>
        <v/>
      </c>
      <c r="AG4" s="6" t="str">
        <f t="shared" si="2"/>
        <v/>
      </c>
      <c r="AH4" s="6" t="str">
        <f t="shared" si="2"/>
        <v/>
      </c>
      <c r="AI4" s="6" t="str">
        <f t="shared" si="2"/>
        <v/>
      </c>
      <c r="AJ4" s="7" t="str">
        <f t="shared" si="2"/>
        <v/>
      </c>
      <c r="AK4" s="8">
        <f>SUM(AL4:AW4)</f>
        <v>0.9230987116</v>
      </c>
      <c r="AL4" s="8">
        <v>0.33</v>
      </c>
      <c r="AM4" s="8">
        <v>0.21</v>
      </c>
      <c r="AN4" s="8">
        <v>0.017</v>
      </c>
      <c r="AO4" s="9">
        <v>0.01</v>
      </c>
      <c r="AP4" s="6"/>
      <c r="AQ4" s="6"/>
      <c r="AR4" s="8">
        <v>0.0475</v>
      </c>
      <c r="AS4" s="8">
        <v>0.02359871155508271</v>
      </c>
      <c r="AT4" s="6"/>
      <c r="AU4" s="8">
        <v>0.015</v>
      </c>
      <c r="AV4" s="8">
        <v>0.2</v>
      </c>
      <c r="AW4" s="10">
        <v>0.07</v>
      </c>
      <c r="AX4" s="6" t="str">
        <f>if(AJ4="","",AJ4-AK4)</f>
        <v/>
      </c>
      <c r="AY4" s="6" t="str">
        <f t="shared" ref="AY4:AZ4" si="3">if(X4="","",X4-AL4)</f>
        <v/>
      </c>
      <c r="AZ4" s="6" t="str">
        <f t="shared" si="3"/>
        <v/>
      </c>
      <c r="BA4" s="6" t="str">
        <f>If(Z4="","",Z4-(AN4+AO4))</f>
        <v/>
      </c>
      <c r="BB4" s="6" t="str">
        <f>If(AB4="","",AB4-(AP4+AQ4))</f>
        <v/>
      </c>
      <c r="BC4" s="6" t="str">
        <f>if(AD4="","",AD4-AR4)</f>
        <v/>
      </c>
      <c r="BD4" s="6" t="str">
        <f t="shared" ref="BD4:BF4" si="4">If(AE4="","",AE4-AS4)</f>
        <v/>
      </c>
      <c r="BE4" s="6" t="str">
        <f t="shared" si="4"/>
        <v/>
      </c>
      <c r="BF4" s="6" t="str">
        <f t="shared" si="4"/>
        <v/>
      </c>
      <c r="BG4" s="6" t="str">
        <f>if(AH4="","",AH4-AV4)</f>
        <v/>
      </c>
      <c r="BH4" s="6" t="str">
        <f>If(AI4="","",AI4-AW4)</f>
        <v/>
      </c>
      <c r="BI4" s="11">
        <v>45997.0</v>
      </c>
      <c r="BJ4" s="5"/>
      <c r="BK4" s="5"/>
      <c r="BL4" s="5"/>
      <c r="BM4" s="5"/>
    </row>
    <row r="5">
      <c r="A5" s="1">
        <v>45953.0</v>
      </c>
      <c r="B5" s="2" t="str">
        <f>HYPERLINK("https://app.clickup.com/t/86d0yztyy", "Tentative_Rocket Store Sale:Alpha")</f>
        <v>Tentative_Rocket Store Sale:Alpha</v>
      </c>
      <c r="C5" s="12" t="str">
        <f>HYPERLINK("https://app.clickup.com/t/86d0ze5rb", "3 PO_Stretch_Chip Chip Chip &amp; Deal")</f>
        <v>3 PO_Stretch_Chip Chip Chip &amp; Deal</v>
      </c>
      <c r="D5" s="4" t="str">
        <f>HYPERLINK("https://app.clickup.com/t/86d0ze7xn", "RBS_Yellow Brick Bash")</f>
        <v>RBS_Yellow Brick Bash</v>
      </c>
    </row>
  </sheetData>
  <drawing r:id="rId1"/>
</worksheet>
</file>